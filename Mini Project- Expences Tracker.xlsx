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aik Balkrushna Anil\OneDrive\Attachments\Desktop\Full Stack Development\Exploring Data Science Field\Basic of Excel\"/>
    </mc:Choice>
  </mc:AlternateContent>
  <xr:revisionPtr revIDLastSave="0" documentId="13_ncr:1_{50071194-16F1-47FE-967A-4B3FB90F9F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9" i="1" l="1"/>
  <c r="N23" i="1"/>
  <c r="N18" i="1"/>
  <c r="N17" i="1"/>
  <c r="J7" i="1"/>
  <c r="J8" i="1"/>
  <c r="J9" i="1"/>
  <c r="J10" i="1"/>
  <c r="J11" i="1"/>
  <c r="J12" i="1"/>
  <c r="J13" i="1"/>
  <c r="J14" i="1"/>
  <c r="J15" i="1"/>
  <c r="J6" i="1"/>
  <c r="I7" i="1"/>
  <c r="I8" i="1"/>
  <c r="I9" i="1"/>
  <c r="I10" i="1"/>
  <c r="I11" i="1"/>
  <c r="I12" i="1"/>
  <c r="I13" i="1"/>
  <c r="I14" i="1"/>
  <c r="I15" i="1"/>
  <c r="I6" i="1"/>
  <c r="H7" i="1"/>
  <c r="H8" i="1"/>
  <c r="H9" i="1"/>
  <c r="H10" i="1"/>
  <c r="H11" i="1"/>
  <c r="H12" i="1"/>
  <c r="H13" i="1"/>
  <c r="H14" i="1"/>
  <c r="H15" i="1"/>
  <c r="H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6" i="1"/>
</calcChain>
</file>

<file path=xl/sharedStrings.xml><?xml version="1.0" encoding="utf-8"?>
<sst xmlns="http://schemas.openxmlformats.org/spreadsheetml/2006/main" count="35" uniqueCount="26">
  <si>
    <t>Sr.NO</t>
  </si>
  <si>
    <t>Discription</t>
  </si>
  <si>
    <t>Type</t>
  </si>
  <si>
    <t>Amount</t>
  </si>
  <si>
    <t>Coffee</t>
  </si>
  <si>
    <t>Breakfast</t>
  </si>
  <si>
    <t>Snacks</t>
  </si>
  <si>
    <t>Petrol</t>
  </si>
  <si>
    <t>Bike</t>
  </si>
  <si>
    <t>Hostel</t>
  </si>
  <si>
    <t>Stay</t>
  </si>
  <si>
    <t>Lunch</t>
  </si>
  <si>
    <t>Food</t>
  </si>
  <si>
    <t>Tea</t>
  </si>
  <si>
    <t>Chips</t>
  </si>
  <si>
    <t>Dinner</t>
  </si>
  <si>
    <t>Coldrink</t>
  </si>
  <si>
    <t>Drinks</t>
  </si>
  <si>
    <t xml:space="preserve">Recharge </t>
  </si>
  <si>
    <t>Data Extra</t>
  </si>
  <si>
    <t>Extra Data</t>
  </si>
  <si>
    <t>Total Expences Per Day</t>
  </si>
  <si>
    <t>Average Transaction Per Day</t>
  </si>
  <si>
    <t>Breakfast Expences</t>
  </si>
  <si>
    <t xml:space="preserve">One Month Expences Prediction </t>
  </si>
  <si>
    <t xml:space="preserve">Mini Project: Expences Tracker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</si>
</sst>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4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7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zoomScaleNormal="100" workbookViewId="0">
      <selection activeCell="M12" sqref="M12"/>
    </sheetView>
  </sheetViews>
  <sheetFormatPr defaultRowHeight="14.4" x14ac:dyDescent="0.3"/>
  <cols>
    <col min="1" max="1" width="8.88671875" customWidth="1"/>
    <col min="2" max="2" width="11.33203125" customWidth="1"/>
    <col min="3" max="3" width="8.88671875" customWidth="1"/>
    <col min="10" max="10" width="10.77734375" customWidth="1"/>
    <col min="13" max="13" width="26.5546875" customWidth="1"/>
  </cols>
  <sheetData>
    <row r="1" spans="1:10" x14ac:dyDescent="0.3">
      <c r="A1" s="1" t="s">
        <v>25</v>
      </c>
      <c r="B1" s="1"/>
      <c r="C1" s="1"/>
      <c r="D1" s="1"/>
      <c r="E1" s="1"/>
      <c r="F1" s="1"/>
      <c r="G1" s="1"/>
    </row>
    <row r="2" spans="1:10" x14ac:dyDescent="0.3">
      <c r="A2" s="1"/>
      <c r="B2" s="1"/>
      <c r="C2" s="1"/>
      <c r="D2" s="1"/>
      <c r="E2" s="1"/>
      <c r="F2" s="1"/>
      <c r="G2" s="1"/>
    </row>
    <row r="4" spans="1:10" ht="15" thickBot="1" x14ac:dyDescent="0.35"/>
    <row r="5" spans="1:10" ht="15" thickBot="1" x14ac:dyDescent="0.35">
      <c r="A5" s="2" t="s">
        <v>0</v>
      </c>
      <c r="B5" s="3" t="s">
        <v>1</v>
      </c>
      <c r="C5" s="3" t="s">
        <v>2</v>
      </c>
      <c r="D5" s="4" t="s">
        <v>3</v>
      </c>
      <c r="E5" s="5" t="s">
        <v>5</v>
      </c>
      <c r="F5" s="3" t="s">
        <v>8</v>
      </c>
      <c r="G5" s="3" t="s">
        <v>12</v>
      </c>
      <c r="H5" s="3" t="s">
        <v>10</v>
      </c>
      <c r="I5" s="3" t="s">
        <v>17</v>
      </c>
      <c r="J5" s="4" t="s">
        <v>20</v>
      </c>
    </row>
    <row r="6" spans="1:10" x14ac:dyDescent="0.3">
      <c r="A6" s="6">
        <v>1</v>
      </c>
      <c r="B6" s="7" t="s">
        <v>4</v>
      </c>
      <c r="C6" s="7" t="s">
        <v>5</v>
      </c>
      <c r="D6" s="8">
        <v>25</v>
      </c>
      <c r="E6" s="9">
        <f>COUNTIF(C6,"Breakfast")*D6</f>
        <v>25</v>
      </c>
      <c r="F6" s="7">
        <f>COUNTIF(C6,"Bike")*D6</f>
        <v>0</v>
      </c>
      <c r="G6" s="7">
        <f>COUNTIF(C6,"Food")*D6</f>
        <v>0</v>
      </c>
      <c r="H6" s="7">
        <f>COUNTIF(C6,"Stay")*D6</f>
        <v>0</v>
      </c>
      <c r="I6" s="7">
        <f>COUNTIF(C6,"Drinks")*D6</f>
        <v>0</v>
      </c>
      <c r="J6" s="8">
        <f>COUNTIF(C6,"Data Extra")*D6</f>
        <v>0</v>
      </c>
    </row>
    <row r="7" spans="1:10" x14ac:dyDescent="0.3">
      <c r="A7" s="6">
        <v>2</v>
      </c>
      <c r="B7" s="7" t="s">
        <v>6</v>
      </c>
      <c r="C7" s="7" t="s">
        <v>5</v>
      </c>
      <c r="D7" s="8">
        <v>35</v>
      </c>
      <c r="E7" s="9">
        <f t="shared" ref="E7:E15" si="0">COUNTIF(C7,"Breakfast")*D7</f>
        <v>35</v>
      </c>
      <c r="F7" s="7">
        <f t="shared" ref="F7:F15" si="1">COUNTIF(C7,"Bike")*D7</f>
        <v>0</v>
      </c>
      <c r="G7" s="7">
        <f t="shared" ref="G7:G15" si="2">COUNTIF(C7,"Food")*D7</f>
        <v>0</v>
      </c>
      <c r="H7" s="7">
        <f t="shared" ref="H7:H15" si="3">COUNTIF(C7,"Stay")*D7</f>
        <v>0</v>
      </c>
      <c r="I7" s="7">
        <f t="shared" ref="I7:I15" si="4">COUNTIF(C7,"Drinks")*D7</f>
        <v>0</v>
      </c>
      <c r="J7" s="8">
        <f t="shared" ref="J7:J15" si="5">COUNTIF(C7,"Data Extra")*D7</f>
        <v>0</v>
      </c>
    </row>
    <row r="8" spans="1:10" x14ac:dyDescent="0.3">
      <c r="A8" s="6">
        <v>3</v>
      </c>
      <c r="B8" s="7" t="s">
        <v>7</v>
      </c>
      <c r="C8" s="7" t="s">
        <v>8</v>
      </c>
      <c r="D8" s="8">
        <v>50</v>
      </c>
      <c r="E8" s="9">
        <f t="shared" si="0"/>
        <v>0</v>
      </c>
      <c r="F8" s="7">
        <f t="shared" si="1"/>
        <v>50</v>
      </c>
      <c r="G8" s="7">
        <f t="shared" si="2"/>
        <v>0</v>
      </c>
      <c r="H8" s="7">
        <f t="shared" si="3"/>
        <v>0</v>
      </c>
      <c r="I8" s="7">
        <f t="shared" si="4"/>
        <v>0</v>
      </c>
      <c r="J8" s="8">
        <f t="shared" si="5"/>
        <v>0</v>
      </c>
    </row>
    <row r="9" spans="1:10" x14ac:dyDescent="0.3">
      <c r="A9" s="6">
        <v>4</v>
      </c>
      <c r="B9" s="7" t="s">
        <v>9</v>
      </c>
      <c r="C9" s="7" t="s">
        <v>10</v>
      </c>
      <c r="D9" s="8">
        <v>200</v>
      </c>
      <c r="E9" s="9">
        <f t="shared" si="0"/>
        <v>0</v>
      </c>
      <c r="F9" s="7">
        <f t="shared" si="1"/>
        <v>0</v>
      </c>
      <c r="G9" s="7">
        <f t="shared" si="2"/>
        <v>0</v>
      </c>
      <c r="H9" s="7">
        <f t="shared" si="3"/>
        <v>200</v>
      </c>
      <c r="I9" s="7">
        <f t="shared" si="4"/>
        <v>0</v>
      </c>
      <c r="J9" s="8">
        <f t="shared" si="5"/>
        <v>0</v>
      </c>
    </row>
    <row r="10" spans="1:10" x14ac:dyDescent="0.3">
      <c r="A10" s="6">
        <v>5</v>
      </c>
      <c r="B10" s="7" t="s">
        <v>11</v>
      </c>
      <c r="C10" s="7" t="s">
        <v>12</v>
      </c>
      <c r="D10" s="8">
        <v>80</v>
      </c>
      <c r="E10" s="9">
        <f t="shared" si="0"/>
        <v>0</v>
      </c>
      <c r="F10" s="7">
        <f t="shared" si="1"/>
        <v>0</v>
      </c>
      <c r="G10" s="7">
        <f t="shared" si="2"/>
        <v>80</v>
      </c>
      <c r="H10" s="7">
        <f t="shared" si="3"/>
        <v>0</v>
      </c>
      <c r="I10" s="7">
        <f t="shared" si="4"/>
        <v>0</v>
      </c>
      <c r="J10" s="8">
        <f t="shared" si="5"/>
        <v>0</v>
      </c>
    </row>
    <row r="11" spans="1:10" x14ac:dyDescent="0.3">
      <c r="A11" s="6">
        <v>6</v>
      </c>
      <c r="B11" s="7" t="s">
        <v>13</v>
      </c>
      <c r="C11" s="7" t="s">
        <v>5</v>
      </c>
      <c r="D11" s="8">
        <v>12</v>
      </c>
      <c r="E11" s="9">
        <f t="shared" si="0"/>
        <v>12</v>
      </c>
      <c r="F11" s="7">
        <f t="shared" si="1"/>
        <v>0</v>
      </c>
      <c r="G11" s="7">
        <f t="shared" si="2"/>
        <v>0</v>
      </c>
      <c r="H11" s="7">
        <f t="shared" si="3"/>
        <v>0</v>
      </c>
      <c r="I11" s="7">
        <f t="shared" si="4"/>
        <v>0</v>
      </c>
      <c r="J11" s="8">
        <f t="shared" si="5"/>
        <v>0</v>
      </c>
    </row>
    <row r="12" spans="1:10" x14ac:dyDescent="0.3">
      <c r="A12" s="6">
        <v>7</v>
      </c>
      <c r="B12" s="7" t="s">
        <v>14</v>
      </c>
      <c r="C12" s="7" t="s">
        <v>12</v>
      </c>
      <c r="D12" s="8">
        <v>20</v>
      </c>
      <c r="E12" s="9">
        <f t="shared" si="0"/>
        <v>0</v>
      </c>
      <c r="F12" s="7">
        <f t="shared" si="1"/>
        <v>0</v>
      </c>
      <c r="G12" s="7">
        <f t="shared" si="2"/>
        <v>20</v>
      </c>
      <c r="H12" s="7">
        <f t="shared" si="3"/>
        <v>0</v>
      </c>
      <c r="I12" s="7">
        <f t="shared" si="4"/>
        <v>0</v>
      </c>
      <c r="J12" s="8">
        <f t="shared" si="5"/>
        <v>0</v>
      </c>
    </row>
    <row r="13" spans="1:10" x14ac:dyDescent="0.3">
      <c r="A13" s="6">
        <v>8</v>
      </c>
      <c r="B13" s="7" t="s">
        <v>15</v>
      </c>
      <c r="C13" s="7" t="s">
        <v>12</v>
      </c>
      <c r="D13" s="8">
        <v>80</v>
      </c>
      <c r="E13" s="9">
        <f t="shared" si="0"/>
        <v>0</v>
      </c>
      <c r="F13" s="7">
        <f t="shared" si="1"/>
        <v>0</v>
      </c>
      <c r="G13" s="7">
        <f t="shared" si="2"/>
        <v>80</v>
      </c>
      <c r="H13" s="7">
        <f t="shared" si="3"/>
        <v>0</v>
      </c>
      <c r="I13" s="7">
        <f t="shared" si="4"/>
        <v>0</v>
      </c>
      <c r="J13" s="8">
        <f t="shared" si="5"/>
        <v>0</v>
      </c>
    </row>
    <row r="14" spans="1:10" x14ac:dyDescent="0.3">
      <c r="A14" s="6">
        <v>9</v>
      </c>
      <c r="B14" s="7" t="s">
        <v>16</v>
      </c>
      <c r="C14" s="7" t="s">
        <v>17</v>
      </c>
      <c r="D14" s="8">
        <v>50</v>
      </c>
      <c r="E14" s="9">
        <f t="shared" si="0"/>
        <v>0</v>
      </c>
      <c r="F14" s="7">
        <f t="shared" si="1"/>
        <v>0</v>
      </c>
      <c r="G14" s="7">
        <f t="shared" si="2"/>
        <v>0</v>
      </c>
      <c r="H14" s="7">
        <f t="shared" si="3"/>
        <v>0</v>
      </c>
      <c r="I14" s="7">
        <f t="shared" si="4"/>
        <v>50</v>
      </c>
      <c r="J14" s="8">
        <f t="shared" si="5"/>
        <v>0</v>
      </c>
    </row>
    <row r="15" spans="1:10" ht="15" thickBot="1" x14ac:dyDescent="0.35">
      <c r="A15" s="10">
        <v>10</v>
      </c>
      <c r="B15" s="11" t="s">
        <v>18</v>
      </c>
      <c r="C15" s="11" t="s">
        <v>19</v>
      </c>
      <c r="D15" s="12">
        <v>19</v>
      </c>
      <c r="E15" s="13">
        <f t="shared" si="0"/>
        <v>0</v>
      </c>
      <c r="F15" s="11">
        <f t="shared" si="1"/>
        <v>0</v>
      </c>
      <c r="G15" s="11">
        <f t="shared" si="2"/>
        <v>0</v>
      </c>
      <c r="H15" s="11">
        <f t="shared" si="3"/>
        <v>0</v>
      </c>
      <c r="I15" s="11">
        <f t="shared" si="4"/>
        <v>0</v>
      </c>
      <c r="J15" s="12">
        <f t="shared" si="5"/>
        <v>19</v>
      </c>
    </row>
    <row r="16" spans="1:10" ht="15" thickBot="1" x14ac:dyDescent="0.35"/>
    <row r="17" spans="13:14" ht="15" thickBot="1" x14ac:dyDescent="0.35">
      <c r="M17" s="14" t="s">
        <v>21</v>
      </c>
      <c r="N17" s="15">
        <f>SUM(D6:D15)</f>
        <v>571</v>
      </c>
    </row>
    <row r="18" spans="13:14" ht="15" thickBot="1" x14ac:dyDescent="0.35">
      <c r="M18" s="16" t="s">
        <v>22</v>
      </c>
      <c r="N18" s="17">
        <f>AVERAGE(D6:D15)</f>
        <v>57.1</v>
      </c>
    </row>
    <row r="19" spans="13:14" ht="15" thickBot="1" x14ac:dyDescent="0.35">
      <c r="M19" s="14" t="s">
        <v>23</v>
      </c>
      <c r="N19" s="15">
        <f>SUM(E6:E15)</f>
        <v>72</v>
      </c>
    </row>
    <row r="20" spans="13:14" x14ac:dyDescent="0.3">
      <c r="M20" s="16"/>
      <c r="N20" s="17"/>
    </row>
    <row r="21" spans="13:14" x14ac:dyDescent="0.3">
      <c r="M21" s="16"/>
      <c r="N21" s="17"/>
    </row>
    <row r="22" spans="13:14" ht="15" thickBot="1" x14ac:dyDescent="0.35">
      <c r="M22" s="16"/>
      <c r="N22" s="17"/>
    </row>
    <row r="23" spans="13:14" ht="15" thickBot="1" x14ac:dyDescent="0.35">
      <c r="M23" s="14" t="s">
        <v>24</v>
      </c>
      <c r="N23" s="15">
        <f>571*30</f>
        <v>17130</v>
      </c>
    </row>
  </sheetData>
  <mergeCells count="1">
    <mergeCell ref="A1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Naik Balkrushna Anil</dc:creator>
  <cp:lastModifiedBy>Balkrushna Naik</cp:lastModifiedBy>
  <dcterms:created xsi:type="dcterms:W3CDTF">2015-06-05T18:17:20Z</dcterms:created>
  <dcterms:modified xsi:type="dcterms:W3CDTF">2026-03-24T16:59:46Z</dcterms:modified>
</cp:coreProperties>
</file>